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query\"/>
    </mc:Choice>
  </mc:AlternateContent>
  <xr:revisionPtr revIDLastSave="0" documentId="13_ncr:1_{59D3115A-9F49-47BF-9FA5-96276F9F148C}" xr6:coauthVersionLast="47" xr6:coauthVersionMax="47" xr10:uidLastSave="{00000000-0000-0000-0000-000000000000}"/>
  <bookViews>
    <workbookView xWindow="-120" yWindow="-120" windowWidth="20730" windowHeight="11160" firstSheet="4" activeTab="5" xr2:uid="{EA76DFD7-668C-48FC-AB4C-C97D5BD84799}"/>
  </bookViews>
  <sheets>
    <sheet name="Table1" sheetId="2" r:id="rId1"/>
    <sheet name="Table3" sheetId="3" r:id="rId2"/>
    <sheet name="Table7" sheetId="6" r:id="rId3"/>
    <sheet name="Table9" sheetId="7" r:id="rId4"/>
    <sheet name="Table11" sheetId="8" r:id="rId5"/>
    <sheet name="Table13" sheetId="9" r:id="rId6"/>
    <sheet name="Table13 (2)" sheetId="10" r:id="rId7"/>
    <sheet name="Table13 (3)" sheetId="11" r:id="rId8"/>
    <sheet name="Sheet1" sheetId="1" r:id="rId9"/>
  </sheets>
  <definedNames>
    <definedName name="_xlnm._FilterDatabase" localSheetId="8" hidden="1">Sheet1!#REF!</definedName>
    <definedName name="ExternalData_1" localSheetId="0" hidden="1">Table1!$A$1:$D$13</definedName>
    <definedName name="ExternalData_1" localSheetId="4" hidden="1">Table11!$A$1:$C$6</definedName>
    <definedName name="ExternalData_1" localSheetId="5" hidden="1">Table13!$A$1:$B$10</definedName>
    <definedName name="ExternalData_1" localSheetId="6" hidden="1">'Table13 (2)'!$A$1:$B$8</definedName>
    <definedName name="ExternalData_1" localSheetId="7" hidden="1">'Table13 (3)'!$A$1:$B$9</definedName>
    <definedName name="ExternalData_1" localSheetId="1" hidden="1">Table3!$A$1:$B$13</definedName>
    <definedName name="ExternalData_1" localSheetId="2" hidden="1">Table7!$A$1:$B$9</definedName>
    <definedName name="ExternalData_1" localSheetId="3" hidden="1">Table9!$A$1:$B$11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9" l="1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3E9E3C-A4C2-41AE-A5FA-8EFA81CF56C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CA65C688-4171-4797-AD4D-A53A7BB7C143}" keepAlive="1" name="Query - Table11" description="Connection to the 'Table11' query in the workbook." type="5" refreshedVersion="7" background="1" saveData="1">
    <dbPr connection="Provider=Microsoft.Mashup.OleDb.1;Data Source=$Workbook$;Location=Table11;Extended Properties=&quot;&quot;" command="SELECT * FROM [Table11]"/>
  </connection>
  <connection id="3" xr16:uid="{1DD2A86F-4538-4EEB-892D-61A6FBC32039}" keepAlive="1" name="Query - Table13" description="Connection to the 'Table13' query in the workbook." type="5" refreshedVersion="7" background="1" saveData="1">
    <dbPr connection="Provider=Microsoft.Mashup.OleDb.1;Data Source=$Workbook$;Location=Table13;Extended Properties=&quot;&quot;" command="SELECT * FROM [Table13]"/>
  </connection>
  <connection id="4" xr16:uid="{6B532D3A-EB29-42BA-B1FC-7F68398451C9}" keepAlive="1" name="Query - Table13 (2)" description="Connection to the 'Table13 (2)' query in the workbook." type="5" refreshedVersion="7" background="1" saveData="1">
    <dbPr connection="Provider=Microsoft.Mashup.OleDb.1;Data Source=$Workbook$;Location=&quot;Table13 (2)&quot;;Extended Properties=&quot;&quot;" command="SELECT * FROM [Table13 (2)]"/>
  </connection>
  <connection id="5" xr16:uid="{6714F446-E65D-428A-93EC-904DCDF0FCB3}" keepAlive="1" name="Query - Table13 (3)" description="Connection to the 'Table13 (3)' query in the workbook." type="5" refreshedVersion="7" background="1" saveData="1">
    <dbPr connection="Provider=Microsoft.Mashup.OleDb.1;Data Source=$Workbook$;Location=&quot;Table13 (3)&quot;;Extended Properties=&quot;&quot;" command="SELECT * FROM [Table13 (3)]"/>
  </connection>
  <connection id="6" xr16:uid="{8AC14282-CC83-473C-8023-D6D010FB806D}" keepAlive="1" name="Query - Table13 (4)" description="Connection to the 'Table13 (4)' query in the workbook." type="5" refreshedVersion="7" background="1" saveData="1">
    <dbPr connection="Provider=Microsoft.Mashup.OleDb.1;Data Source=$Workbook$;Location=&quot;Table13 (4)&quot;;Extended Properties=&quot;&quot;" command="SELECT * FROM [Table13 (4)]"/>
  </connection>
  <connection id="7" xr16:uid="{E762D9FD-252C-488F-A4F8-B94D8570C335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  <connection id="8" xr16:uid="{72E4F065-B24B-4583-A2B7-B2340224F72E}" keepAlive="1" name="Query - Table7" description="Connection to the 'Table7' query in the workbook." type="5" refreshedVersion="7" background="1" saveData="1">
    <dbPr connection="Provider=Microsoft.Mashup.OleDb.1;Data Source=$Workbook$;Location=Table7;Extended Properties=&quot;&quot;" command="SELECT * FROM [Table7]"/>
  </connection>
  <connection id="9" xr16:uid="{F2D70FF9-4908-4C8F-B2BB-E0AB0C3B2054}" keepAlive="1" name="Query - Table9" description="Connection to the 'Table9' query in the workbook." type="5" refreshedVersion="7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<sst xmlns="http://schemas.openxmlformats.org/spreadsheetml/2006/main" count="263" uniqueCount="192">
  <si>
    <t>DINESHWAR</t>
  </si>
  <si>
    <t>FIRST NAME</t>
  </si>
  <si>
    <t>LAST NAME</t>
  </si>
  <si>
    <t>FULL NAME</t>
  </si>
  <si>
    <t>S.N.</t>
  </si>
  <si>
    <t>manish</t>
  </si>
  <si>
    <t>ManishA</t>
  </si>
  <si>
    <t>Mohit</t>
  </si>
  <si>
    <t>trun</t>
  </si>
  <si>
    <t>Manju</t>
  </si>
  <si>
    <t>Radha</t>
  </si>
  <si>
    <t>pinki</t>
  </si>
  <si>
    <t>raJU</t>
  </si>
  <si>
    <t>KARAn</t>
  </si>
  <si>
    <t>deePAK</t>
  </si>
  <si>
    <t>paswan</t>
  </si>
  <si>
    <t>Pawan</t>
  </si>
  <si>
    <t>sharma</t>
  </si>
  <si>
    <t>Thakur</t>
  </si>
  <si>
    <t>kumar</t>
  </si>
  <si>
    <t>raM</t>
  </si>
  <si>
    <t>PaswaAN</t>
  </si>
  <si>
    <t>MAHTO</t>
  </si>
  <si>
    <t>Mahto</t>
  </si>
  <si>
    <t>sinha</t>
  </si>
  <si>
    <t>shigh</t>
  </si>
  <si>
    <t>khaWAR</t>
  </si>
  <si>
    <t>Baitha</t>
  </si>
  <si>
    <t>1</t>
  </si>
  <si>
    <t>PASWAN</t>
  </si>
  <si>
    <t>DINESHWAR PASWAN</t>
  </si>
  <si>
    <t>2</t>
  </si>
  <si>
    <t>PAWAN</t>
  </si>
  <si>
    <t>SHARMA</t>
  </si>
  <si>
    <t>PAWAN SHARMA</t>
  </si>
  <si>
    <t>3</t>
  </si>
  <si>
    <t>MANISH</t>
  </si>
  <si>
    <t>THAKUR</t>
  </si>
  <si>
    <t>MANISH THAKUR</t>
  </si>
  <si>
    <t>4</t>
  </si>
  <si>
    <t>MANISHA</t>
  </si>
  <si>
    <t>KUMAR</t>
  </si>
  <si>
    <t>MANISHA KUMAR</t>
  </si>
  <si>
    <t>5</t>
  </si>
  <si>
    <t>MOHIT</t>
  </si>
  <si>
    <t>RAM</t>
  </si>
  <si>
    <t>MOHIT RAM</t>
  </si>
  <si>
    <t>6</t>
  </si>
  <si>
    <t>TRUN</t>
  </si>
  <si>
    <t>PASWAAN</t>
  </si>
  <si>
    <t>TRUN PASWAAN</t>
  </si>
  <si>
    <t>7</t>
  </si>
  <si>
    <t>MANJU</t>
  </si>
  <si>
    <t>MANJU MAHTO</t>
  </si>
  <si>
    <t>8</t>
  </si>
  <si>
    <t>RADHA</t>
  </si>
  <si>
    <t>RADHA MAHTO</t>
  </si>
  <si>
    <t>9</t>
  </si>
  <si>
    <t>PINKI</t>
  </si>
  <si>
    <t>SINHA</t>
  </si>
  <si>
    <t>PINKI SINHA</t>
  </si>
  <si>
    <t>10</t>
  </si>
  <si>
    <t>RAJU</t>
  </si>
  <si>
    <t>SHIGH</t>
  </si>
  <si>
    <t>RAJU SHIGH</t>
  </si>
  <si>
    <t>11</t>
  </si>
  <si>
    <t>KARAN</t>
  </si>
  <si>
    <t>KHAWAR</t>
  </si>
  <si>
    <t>KARAN KHAWAR</t>
  </si>
  <si>
    <t>12</t>
  </si>
  <si>
    <t>DEEPAK</t>
  </si>
  <si>
    <t>BAITHA</t>
  </si>
  <si>
    <t>DEEPAK BAITHA</t>
  </si>
  <si>
    <t>dineshwar paswan</t>
  </si>
  <si>
    <t>manish kumar</t>
  </si>
  <si>
    <t>aman jaoiti</t>
  </si>
  <si>
    <t>raju ram</t>
  </si>
  <si>
    <t>manoj sharma</t>
  </si>
  <si>
    <t>rishi Mahato</t>
  </si>
  <si>
    <t>gulshan Tahkur</t>
  </si>
  <si>
    <t>ravinder yadav</t>
  </si>
  <si>
    <t>karan paswan</t>
  </si>
  <si>
    <t>mantu Paswan</t>
  </si>
  <si>
    <t>Dineshwar</t>
  </si>
  <si>
    <t>Paswan</t>
  </si>
  <si>
    <t>Manish</t>
  </si>
  <si>
    <t>Kumar</t>
  </si>
  <si>
    <t>Aman</t>
  </si>
  <si>
    <t>Jaoiti</t>
  </si>
  <si>
    <t>Raju</t>
  </si>
  <si>
    <t>Ram</t>
  </si>
  <si>
    <t>Manoj</t>
  </si>
  <si>
    <t>Sharma</t>
  </si>
  <si>
    <t>Rishi</t>
  </si>
  <si>
    <t>Mahato</t>
  </si>
  <si>
    <t>Gulshan</t>
  </si>
  <si>
    <t>Tahkur</t>
  </si>
  <si>
    <t>Ravinder</t>
  </si>
  <si>
    <t>Yadav</t>
  </si>
  <si>
    <t>Karan</t>
  </si>
  <si>
    <t>Mantu</t>
  </si>
  <si>
    <t>2015 Cherokee E8</t>
  </si>
  <si>
    <t>2024 ES</t>
  </si>
  <si>
    <t>2009 E8 Century</t>
  </si>
  <si>
    <t>2006 Express 2500</t>
  </si>
  <si>
    <t>2024 PT Cruiser</t>
  </si>
  <si>
    <t>2021 Century</t>
  </si>
  <si>
    <t>1998 PT Hybrid</t>
  </si>
  <si>
    <t>1990 Topaz</t>
  </si>
  <si>
    <t>2006 Silverado Hybrid</t>
  </si>
  <si>
    <t>2008 FS- CLASS</t>
  </si>
  <si>
    <t>gmail.com</t>
  </si>
  <si>
    <t>outlook.in</t>
  </si>
  <si>
    <t>YEAR/Model</t>
  </si>
  <si>
    <t>Email</t>
  </si>
  <si>
    <t>vishan</t>
  </si>
  <si>
    <t>vishan@lernho.com</t>
  </si>
  <si>
    <t>Aman@apnabussiness.com</t>
  </si>
  <si>
    <t>Sanjay@supeman.com</t>
  </si>
  <si>
    <t>Arunkumar@gmail.com</t>
  </si>
  <si>
    <t>Rahul@hotmail.com</t>
  </si>
  <si>
    <t>Kumarvishal@outlook.in</t>
  </si>
  <si>
    <t>Dinesh@baja.com</t>
  </si>
  <si>
    <t>sard@yaho.com</t>
  </si>
  <si>
    <t>NAME</t>
  </si>
  <si>
    <t>DOMAN NAME</t>
  </si>
  <si>
    <t>lernho.com</t>
  </si>
  <si>
    <t>apnabussiness.com</t>
  </si>
  <si>
    <t>Sanjay</t>
  </si>
  <si>
    <t>supeman.com</t>
  </si>
  <si>
    <t>Arunkumar</t>
  </si>
  <si>
    <t>Rahul</t>
  </si>
  <si>
    <t>hotmail.com</t>
  </si>
  <si>
    <t>Kumarvishal</t>
  </si>
  <si>
    <t>Dinesh</t>
  </si>
  <si>
    <t>baja.com</t>
  </si>
  <si>
    <t>sard</t>
  </si>
  <si>
    <t>yaho.com</t>
  </si>
  <si>
    <t xml:space="preserve"> FS- CLASS</t>
  </si>
  <si>
    <t xml:space="preserve"> Cherokee E8</t>
  </si>
  <si>
    <t xml:space="preserve"> ES</t>
  </si>
  <si>
    <t xml:space="preserve"> E8 Century</t>
  </si>
  <si>
    <t xml:space="preserve"> Express 2500</t>
  </si>
  <si>
    <t xml:space="preserve"> PT Cruiser</t>
  </si>
  <si>
    <t xml:space="preserve"> Topaz</t>
  </si>
  <si>
    <t xml:space="preserve"> Century</t>
  </si>
  <si>
    <t xml:space="preserve"> PT Hybrid</t>
  </si>
  <si>
    <t xml:space="preserve"> Silverado Hybrid</t>
  </si>
  <si>
    <t>YEAR</t>
  </si>
  <si>
    <t>Model</t>
  </si>
  <si>
    <t>NAME/PLOT NO.</t>
  </si>
  <si>
    <t>DINESHWAR 3013</t>
  </si>
  <si>
    <t>RAHUL 737</t>
  </si>
  <si>
    <t>BINAY 103</t>
  </si>
  <si>
    <t>467 RAJAK</t>
  </si>
  <si>
    <t>410 RAMAN</t>
  </si>
  <si>
    <t xml:space="preserve">DINESHWAR </t>
  </si>
  <si>
    <t>3013</t>
  </si>
  <si>
    <t xml:space="preserve">RAHUL </t>
  </si>
  <si>
    <t>737</t>
  </si>
  <si>
    <t xml:space="preserve">BINAY </t>
  </si>
  <si>
    <t>103</t>
  </si>
  <si>
    <t>467</t>
  </si>
  <si>
    <t xml:space="preserve"> RAJAK</t>
  </si>
  <si>
    <t>410</t>
  </si>
  <si>
    <t xml:space="preserve"> RAMAN</t>
  </si>
  <si>
    <t>NAME/PLOT NO.1</t>
  </si>
  <si>
    <t>NAME/PLOT NO.2</t>
  </si>
  <si>
    <t>POWER QUERIES USED FOR SPLITE</t>
  </si>
  <si>
    <t>PROJOCT</t>
  </si>
  <si>
    <t>STATE</t>
  </si>
  <si>
    <t>AMOUNT</t>
  </si>
  <si>
    <t>Orange</t>
  </si>
  <si>
    <t>Banana</t>
  </si>
  <si>
    <t>Mango</t>
  </si>
  <si>
    <t>Carrot</t>
  </si>
  <si>
    <t>Apple</t>
  </si>
  <si>
    <t>Kiwi</t>
  </si>
  <si>
    <t>Grreps</t>
  </si>
  <si>
    <t>BIHAR</t>
  </si>
  <si>
    <t>UP</t>
  </si>
  <si>
    <t>DELHI</t>
  </si>
  <si>
    <t>JHALKAND</t>
  </si>
  <si>
    <t>WB</t>
  </si>
  <si>
    <t>JAMU</t>
  </si>
  <si>
    <t>KARNATKA</t>
  </si>
  <si>
    <t>KERLA</t>
  </si>
  <si>
    <t>STATE AMOUNT</t>
  </si>
  <si>
    <t>PRODUCT COUNT</t>
  </si>
  <si>
    <t>STATE COUNT</t>
  </si>
  <si>
    <t>POWER Queries used Group by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</si>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</sst>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2" xfId="0" applyFill="1" applyBorder="1"/>
    <xf numFmtId="0" fontId="2" fillId="2" borderId="11" xfId="0" applyFont="1" applyFill="1" applyBorder="1" applyAlignment="1">
      <alignment horizontal="center"/>
    </xf>
    <xf numFmtId="0" fontId="0" fillId="4" borderId="10" xfId="0" applyFill="1" applyBorder="1"/>
    <xf numFmtId="0" fontId="0" fillId="0" borderId="10" xfId="0" applyBorder="1"/>
    <xf numFmtId="0" fontId="0" fillId="0" borderId="0" xfId="0" applyAlignment="1">
      <alignment horizontal="center"/>
    </xf>
    <xf numFmtId="0" fontId="2" fillId="5" borderId="0" xfId="0" applyFont="1" applyFill="1"/>
    <xf numFmtId="0" fontId="3" fillId="0" borderId="1" xfId="1" applyBorder="1"/>
    <xf numFmtId="0" fontId="3" fillId="0" borderId="8" xfId="1" applyBorder="1"/>
    <xf numFmtId="0" fontId="0" fillId="0" borderId="0" xfId="0" applyAlignment="1">
      <alignment horizontal="left"/>
    </xf>
    <xf numFmtId="0" fontId="0" fillId="0" borderId="12" xfId="0" applyBorder="1"/>
    <xf numFmtId="0" fontId="4" fillId="5" borderId="11" xfId="0" applyFont="1" applyFill="1" applyBorder="1"/>
    <xf numFmtId="0" fontId="5" fillId="6" borderId="11" xfId="0" applyFont="1" applyFill="1" applyBorder="1"/>
    <xf numFmtId="164" fontId="0" fillId="0" borderId="3" xfId="0" applyNumberFormat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1" xfId="0" applyBorder="1"/>
    <xf numFmtId="0" fontId="8" fillId="0" borderId="1" xfId="0" applyNumberFormat="1" applyFont="1" applyBorder="1"/>
    <xf numFmtId="0" fontId="8" fillId="0" borderId="1" xfId="0" applyFont="1" applyBorder="1"/>
  </cellXfs>
  <cellStyles count="2">
    <cellStyle name="Hyperlink" xfId="1" builtinId="8"/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theme="3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E9D408-C8AF-435E-A33C-97C0CFF73E3A}" autoFormatId="16" applyNumberFormats="0" applyBorderFormats="0" applyFontFormats="0" applyPatternFormats="0" applyAlignmentFormats="0" applyWidthHeightFormats="0">
  <queryTableRefresh nextId="5">
    <queryTableFields count="4">
      <queryTableField id="1" name="S.N." tableColumnId="1"/>
      <queryTableField id="2" name="FIRST NAME" tableColumnId="2"/>
      <queryTableField id="3" name="LAST NAME" tableColumnId="3"/>
      <queryTableField id="4" name="FULL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C6DC4D0-F9DF-4F16-B895-8FE0675660F8}" autoFormatId="16" applyNumberFormats="0" applyBorderFormats="0" applyFontFormats="0" applyPatternFormats="0" applyAlignmentFormats="0" applyWidthHeightFormats="0">
  <queryTableRefresh nextId="3">
    <queryTableFields count="2">
      <queryTableField id="1" name="FIRST NAME" tableColumnId="1"/>
      <queryTableField id="2" name="LAST 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67BAA03-5F1A-4668-8117-B8E697A59585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DOMAN 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EB98986-1A52-4FE3-9408-25FAD75033FA}" autoFormatId="16" applyNumberFormats="0" applyBorderFormats="0" applyFontFormats="0" applyPatternFormats="0" applyAlignmentFormats="0" applyWidthHeightFormats="0">
  <queryTableRefresh nextId="5">
    <queryTableFields count="2">
      <queryTableField id="3" name="YEAR" tableColumnId="3"/>
      <queryTableField id="4" name="Mode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3ED82A-9F06-4808-94C3-3F44E6BF7AD3}" autoFormatId="16" applyNumberFormats="0" applyBorderFormats="0" applyFontFormats="0" applyPatternFormats="0" applyAlignmentFormats="0" applyWidthHeightFormats="0">
  <queryTableRefresh nextId="7">
    <queryTableFields count="3">
      <queryTableField id="4" name="NAME/PLOT NO." tableColumnId="4"/>
      <queryTableField id="5" name="NAME/PLOT NO1" tableColumnId="5"/>
      <queryTableField id="6" name="NAME/PLOT NO2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B63E41-D085-4580-AE44-BE94CF228E7C}" autoFormatId="16" applyNumberFormats="0" applyBorderFormats="0" applyFontFormats="0" applyPatternFormats="0" applyAlignmentFormats="0" applyWidthHeightFormats="0">
  <queryTableRefresh nextId="8">
    <queryTableFields count="2">
      <queryTableField id="5" name="STATE" tableColumnId="4"/>
      <queryTableField id="7" name="STATE AM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B09EE1-8CE3-402B-AB0B-D835ED68BF63}" autoFormatId="16" applyNumberFormats="0" applyBorderFormats="0" applyFontFormats="0" applyPatternFormats="0" applyAlignmentFormats="0" applyWidthHeightFormats="0">
  <queryTableRefresh nextId="3">
    <queryTableFields count="2">
      <queryTableField id="1" name="PROJOCT" tableColumnId="1"/>
      <queryTableField id="2" name="PRODUCT 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7BD60DB-D0BD-4690-BCC8-BD976AA60CD8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TATE 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A869D-BA96-44E5-AA26-25EF8BEAA749}" name="Table1_2" displayName="Table1_2" ref="A1:D13" tableType="queryTable" totalsRowShown="0">
  <autoFilter ref="A1:D13" xr:uid="{A61A869D-BA96-44E5-AA26-25EF8BEAA749}"/>
  <tableColumns count="4">
    <tableColumn id="1" xr3:uid="{C38D00F9-281F-4E0F-B953-6EDD87BEA172}" uniqueName="1" name="S.N." queryTableFieldId="1" dataDxfId="55"/>
    <tableColumn id="2" xr3:uid="{5AE61D8C-57E8-4843-99B3-B765C823A151}" uniqueName="2" name="FIRST NAME" queryTableFieldId="2" dataDxfId="54"/>
    <tableColumn id="3" xr3:uid="{E23E2A9F-FD36-4EFD-84FD-AC2C561CDEDE}" uniqueName="3" name="LAST NAME" queryTableFieldId="3" dataDxfId="53"/>
    <tableColumn id="4" xr3:uid="{843D11C5-0DFD-40DF-8A4E-95E440E0D38A}" uniqueName="4" name="FULL NAME" queryTableFieldId="4" dataDxfId="5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2D556-80A4-493B-AA96-1F513B0134E4}" name="Table3_2" displayName="Table3_2" ref="A1:B13" tableType="queryTable" totalsRowShown="0">
  <autoFilter ref="A1:B13" xr:uid="{E6D2D556-80A4-493B-AA96-1F513B0134E4}"/>
  <tableColumns count="2">
    <tableColumn id="1" xr3:uid="{15E271FD-319E-44EC-A765-13AB6281C02B}" uniqueName="1" name="FIRST NAME" queryTableFieldId="1" dataDxfId="51"/>
    <tableColumn id="2" xr3:uid="{8AD7C3ED-1BDA-402F-8DA2-158F13BF77F6}" uniqueName="2" name="LAST NAME" queryTableFieldId="2" dataDxfId="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EAE2D0-2DA9-4CB8-8248-BF3F437C88C9}" name="Table7_2" displayName="Table7_2" ref="A1:B9" tableType="queryTable" totalsRowShown="0" headerRowDxfId="49" dataDxfId="48">
  <autoFilter ref="A1:B9" xr:uid="{0BEAE2D0-2DA9-4CB8-8248-BF3F437C88C9}"/>
  <tableColumns count="2">
    <tableColumn id="1" xr3:uid="{5087EE0B-BFEE-4199-BF92-53D24C33918D}" uniqueName="1" name="NAME" queryTableFieldId="1" dataDxfId="47"/>
    <tableColumn id="2" xr3:uid="{903CC64B-5D98-49DB-A8E9-88878BEAE962}" uniqueName="2" name="DOMAN NAME" queryTableFieldId="2" dataDxf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9E751B-A67F-44FB-9DE4-F517677419BF}" name="Table9_2" displayName="Table9_2" ref="A1:B11" tableType="queryTable" totalsRowShown="0" headerRowDxfId="45" dataDxfId="44">
  <autoFilter ref="A1:B11" xr:uid="{129E751B-A67F-44FB-9DE4-F517677419BF}"/>
  <tableColumns count="2">
    <tableColumn id="3" xr3:uid="{AD69F4CB-95B0-42E7-B59E-B635AD3DB4E1}" uniqueName="3" name="YEAR" queryTableFieldId="3" dataDxfId="43"/>
    <tableColumn id="4" xr3:uid="{B64314B0-1036-48C6-B640-FCEC3D2666D6}" uniqueName="4" name="Model" queryTableFieldId="4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53BE36-A6A9-41BC-BB0E-3B68337E2F3D}" name="Table11_2" displayName="Table11_2" ref="A1:C6" tableType="queryTable" totalsRowShown="0" dataDxfId="2">
  <autoFilter ref="A1:C6" xr:uid="{E953BE36-A6A9-41BC-BB0E-3B68337E2F3D}"/>
  <tableColumns count="3">
    <tableColumn id="4" xr3:uid="{6DA1D93E-58A6-49E2-A72E-DAEB0D538C14}" uniqueName="4" name="NAME/PLOT NO." queryTableFieldId="4" dataDxfId="5"/>
    <tableColumn id="5" xr3:uid="{23AB9D8B-795F-4E5A-A9A1-913DE0374B08}" uniqueName="5" name="NAME/PLOT NO.1" queryTableFieldId="5" dataDxfId="4"/>
    <tableColumn id="6" xr3:uid="{CD5BA358-233A-4B42-8A91-0DC8409E2375}" uniqueName="6" name="NAME/PLOT NO.2" queryTableFieldId="6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AA31CA-6AAD-4942-B289-C09B13507F38}" name="Table13_2" displayName="Table13_2" ref="A1:B10" tableType="queryTable" totalsRowShown="0">
  <autoFilter ref="A1:B10" xr:uid="{C9AA31CA-6AAD-4942-B289-C09B13507F38}"/>
  <tableColumns count="2">
    <tableColumn id="4" xr3:uid="{C8108D67-C3C6-4C71-AACB-F3BF63C418D1}" uniqueName="4" name="STATE" queryTableFieldId="5" dataDxfId="1"/>
    <tableColumn id="5" xr3:uid="{D02E2A85-3CA2-4B93-9992-91D99F9D6107}" uniqueName="5" name="STATE AMOUNT" queryTableFieldId="7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012114-8C4D-4FDB-978B-4A277AFD6C62}" name="Table13__2" displayName="Table13__2" ref="A1:B8" tableType="queryTable" totalsRowShown="0">
  <autoFilter ref="A1:B8" xr:uid="{35012114-8C4D-4FDB-978B-4A277AFD6C62}"/>
  <tableColumns count="2">
    <tableColumn id="1" xr3:uid="{2C6CDF46-D862-4F8A-A841-357B5DD91A02}" uniqueName="1" name="PROJOCT" queryTableFieldId="1" dataDxfId="41"/>
    <tableColumn id="2" xr3:uid="{A4976571-86B0-4876-BABC-1CB2CDD13951}" uniqueName="2" name="PRODUCT 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83118C8-9C90-4D6E-A9E9-BD6CCD633FCD}" name="Table13__3" displayName="Table13__3" ref="A1:B9" tableType="queryTable" totalsRowShown="0">
  <autoFilter ref="A1:B9" xr:uid="{483118C8-9C90-4D6E-A9E9-BD6CCD633FCD}"/>
  <tableColumns count="2">
    <tableColumn id="1" xr3:uid="{AE1DA4D5-D7F1-4464-9F6B-40D1AE52B190}" uniqueName="1" name="STATE" queryTableFieldId="1" dataDxfId="40"/>
    <tableColumn id="2" xr3:uid="{51EAE1C4-5EB7-4637-AEEF-4B60DB4E31A1}" uniqueName="2" name="STATE COUNT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E26B6-1D0B-4F47-8793-B9E214DA3761}" name="Table1" displayName="Table1" ref="A2:D14" totalsRowShown="0" headerRowDxfId="39" headerRowBorderDxfId="38" tableBorderDxfId="37" totalsRowBorderDxfId="36">
  <tableColumns count="4">
    <tableColumn id="1" xr3:uid="{AD2E54BA-8002-4E5C-A7F9-3E821090B25C}" name="S.N." dataDxfId="35"/>
    <tableColumn id="2" xr3:uid="{8985A8CC-0FBF-4F8E-B327-B27752330C03}" name="FIRST NAME" dataDxfId="34"/>
    <tableColumn id="3" xr3:uid="{CD70DC6D-5659-4DF3-8B5C-26F8E72FCA10}" name="LAST NAME" dataDxfId="33"/>
    <tableColumn id="4" xr3:uid="{56A4207B-E574-4252-A533-E71FF0335764}" name="FULL NAME" dataDxfId="32">
      <calculatedColumnFormula>_xlfn.CONCAT(B3," ",C3)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1C42A-09B9-4035-801F-E3BE119BBC23}" name="Table3" displayName="Table3" ref="G2:G14" totalsRowShown="0" headerRowDxfId="31" dataDxfId="29" headerRowBorderDxfId="30" tableBorderDxfId="28" totalsRowBorderDxfId="27">
  <autoFilter ref="G2:G14" xr:uid="{DF81C42A-09B9-4035-801F-E3BE119BBC23}"/>
  <tableColumns count="1">
    <tableColumn id="1" xr3:uid="{A696753C-0FF0-471A-BA88-BEFB9AB167DF}" name="FULL NAME" dataDxfId="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DAB8E-BEFC-4415-9D63-04782C1DDA3C}" name="Table7" displayName="Table7" ref="I14:I22" totalsRowShown="0" headerRowDxfId="25" tableBorderDxfId="24" dataCellStyle="Hyperlink">
  <autoFilter ref="I14:I22" xr:uid="{C22DAB8E-BEFC-4415-9D63-04782C1DDA3C}"/>
  <tableColumns count="1">
    <tableColumn id="1" xr3:uid="{09DDED4D-12D8-4531-9D02-68DD8FF3556E}" name="Email" dataDxfId="23" dataCellStyle="Hyperlin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1DD55F-4F56-4527-94F6-3B56250C27DF}" name="Table9" displayName="Table9" ref="I2:I12" totalsRowShown="0" headerRowDxfId="22" headerRowBorderDxfId="21" tableBorderDxfId="20" totalsRowBorderDxfId="19">
  <autoFilter ref="I2:I12" xr:uid="{A61DD55F-4F56-4527-94F6-3B56250C27DF}"/>
  <tableColumns count="1">
    <tableColumn id="1" xr3:uid="{0BF8B0A3-1D4F-49F5-8386-6B86B0798778}" name="YEAR/Model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0809B6-6FF6-4C06-8015-4DDC0020D9A6}" name="Table11" displayName="Table11" ref="D16:D21" totalsRowShown="0" headerRowDxfId="17" headerRowBorderDxfId="16" tableBorderDxfId="15" totalsRowBorderDxfId="14">
  <autoFilter ref="D16:D21" xr:uid="{BC0809B6-6FF6-4C06-8015-4DDC0020D9A6}"/>
  <tableColumns count="1">
    <tableColumn id="1" xr3:uid="{E9F8DB34-BC95-4DAA-91DE-B8F3B17BC9C5}" name="NAME/PLOT NO." dataDxfId="1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06E534D-3A53-417F-B1BF-B79E0B930C17}" name="Table13" displayName="Table13" ref="K2:M22" totalsRowShown="0" headerRowDxfId="12" headerRowBorderDxfId="11" tableBorderDxfId="10" totalsRowBorderDxfId="9">
  <autoFilter ref="K2:M22" xr:uid="{E06E534D-3A53-417F-B1BF-B79E0B930C17}"/>
  <tableColumns count="3">
    <tableColumn id="1" xr3:uid="{2C07D469-8DA8-4B7D-B216-22067A9FF07E}" name="PROJOCT" dataDxfId="8"/>
    <tableColumn id="2" xr3:uid="{DA1AED8D-A9DD-43CC-9E94-E7BC567F0990}" name="STATE" dataDxfId="7"/>
    <tableColumn id="3" xr3:uid="{B6A86E5B-0F52-4C09-A230-3A96064955F7}" name="AMOUN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ard@yaho.com" TargetMode="External"/><Relationship Id="rId13" Type="http://schemas.openxmlformats.org/officeDocument/2006/relationships/table" Target="../tables/table12.xml"/><Relationship Id="rId3" Type="http://schemas.openxmlformats.org/officeDocument/2006/relationships/hyperlink" Target="mailto:Sanjay@supeman.com" TargetMode="External"/><Relationship Id="rId7" Type="http://schemas.openxmlformats.org/officeDocument/2006/relationships/hyperlink" Target="mailto:Dinesh@baja.com" TargetMode="External"/><Relationship Id="rId12" Type="http://schemas.openxmlformats.org/officeDocument/2006/relationships/table" Target="../tables/table11.xml"/><Relationship Id="rId2" Type="http://schemas.openxmlformats.org/officeDocument/2006/relationships/hyperlink" Target="mailto:Aman@apnabussiness.com" TargetMode="External"/><Relationship Id="rId1" Type="http://schemas.openxmlformats.org/officeDocument/2006/relationships/hyperlink" Target="mailto:vishan@lernho.com" TargetMode="External"/><Relationship Id="rId6" Type="http://schemas.openxmlformats.org/officeDocument/2006/relationships/hyperlink" Target="mailto:Kumarvishal@outlook.in" TargetMode="External"/><Relationship Id="rId11" Type="http://schemas.openxmlformats.org/officeDocument/2006/relationships/table" Target="../tables/table10.xml"/><Relationship Id="rId5" Type="http://schemas.openxmlformats.org/officeDocument/2006/relationships/hyperlink" Target="mailto:Rahul@hotmail.com" TargetMode="Externa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hyperlink" Target="mailto:Arunkumar@gmail.com" TargetMode="External"/><Relationship Id="rId9" Type="http://schemas.openxmlformats.org/officeDocument/2006/relationships/printerSettings" Target="../printerSettings/printerSettings2.bin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D324-6BFA-4890-BD1B-4C9F1A029C49}">
  <dimension ref="A1:D13"/>
  <sheetViews>
    <sheetView workbookViewId="0">
      <selection activeCell="F9" sqref="F9"/>
    </sheetView>
  </sheetViews>
  <sheetFormatPr defaultRowHeight="15" x14ac:dyDescent="0.25"/>
  <cols>
    <col min="1" max="1" width="6.85546875" bestFit="1" customWidth="1"/>
    <col min="2" max="2" width="14" bestFit="1" customWidth="1"/>
    <col min="3" max="3" width="13.42578125" bestFit="1" customWidth="1"/>
    <col min="4" max="4" width="20.5703125" bestFit="1" customWidth="1"/>
  </cols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 t="s">
        <v>28</v>
      </c>
      <c r="B2" t="s">
        <v>0</v>
      </c>
      <c r="C2" t="s">
        <v>29</v>
      </c>
      <c r="D2" t="s">
        <v>30</v>
      </c>
    </row>
    <row r="3" spans="1:4" x14ac:dyDescent="0.25">
      <c r="A3" t="s">
        <v>31</v>
      </c>
      <c r="B3" t="s">
        <v>32</v>
      </c>
      <c r="C3" t="s">
        <v>33</v>
      </c>
      <c r="D3" t="s">
        <v>34</v>
      </c>
    </row>
    <row r="4" spans="1:4" x14ac:dyDescent="0.25">
      <c r="A4" t="s">
        <v>35</v>
      </c>
      <c r="B4" t="s">
        <v>36</v>
      </c>
      <c r="C4" t="s">
        <v>37</v>
      </c>
      <c r="D4" t="s">
        <v>38</v>
      </c>
    </row>
    <row r="5" spans="1:4" x14ac:dyDescent="0.25">
      <c r="A5" t="s">
        <v>39</v>
      </c>
      <c r="B5" t="s">
        <v>40</v>
      </c>
      <c r="C5" t="s">
        <v>41</v>
      </c>
      <c r="D5" t="s">
        <v>42</v>
      </c>
    </row>
    <row r="6" spans="1:4" x14ac:dyDescent="0.25">
      <c r="A6" t="s">
        <v>43</v>
      </c>
      <c r="B6" t="s">
        <v>44</v>
      </c>
      <c r="C6" t="s">
        <v>45</v>
      </c>
      <c r="D6" t="s">
        <v>46</v>
      </c>
    </row>
    <row r="7" spans="1:4" x14ac:dyDescent="0.25">
      <c r="A7" t="s">
        <v>47</v>
      </c>
      <c r="B7" t="s">
        <v>48</v>
      </c>
      <c r="C7" t="s">
        <v>49</v>
      </c>
      <c r="D7" t="s">
        <v>50</v>
      </c>
    </row>
    <row r="8" spans="1:4" x14ac:dyDescent="0.25">
      <c r="A8" t="s">
        <v>51</v>
      </c>
      <c r="B8" t="s">
        <v>52</v>
      </c>
      <c r="C8" t="s">
        <v>22</v>
      </c>
      <c r="D8" t="s">
        <v>53</v>
      </c>
    </row>
    <row r="9" spans="1:4" x14ac:dyDescent="0.25">
      <c r="A9" t="s">
        <v>54</v>
      </c>
      <c r="B9" t="s">
        <v>55</v>
      </c>
      <c r="C9" t="s">
        <v>22</v>
      </c>
      <c r="D9" t="s">
        <v>56</v>
      </c>
    </row>
    <row r="10" spans="1:4" x14ac:dyDescent="0.25">
      <c r="A10" t="s">
        <v>57</v>
      </c>
      <c r="B10" t="s">
        <v>58</v>
      </c>
      <c r="C10" t="s">
        <v>59</v>
      </c>
      <c r="D10" t="s">
        <v>60</v>
      </c>
    </row>
    <row r="11" spans="1:4" x14ac:dyDescent="0.25">
      <c r="A11" t="s">
        <v>61</v>
      </c>
      <c r="B11" t="s">
        <v>62</v>
      </c>
      <c r="C11" t="s">
        <v>63</v>
      </c>
      <c r="D11" t="s">
        <v>64</v>
      </c>
    </row>
    <row r="12" spans="1:4" x14ac:dyDescent="0.25">
      <c r="A12" t="s">
        <v>65</v>
      </c>
      <c r="B12" t="s">
        <v>66</v>
      </c>
      <c r="C12" t="s">
        <v>67</v>
      </c>
      <c r="D12" t="s">
        <v>68</v>
      </c>
    </row>
    <row r="13" spans="1:4" x14ac:dyDescent="0.25">
      <c r="A13" t="s">
        <v>69</v>
      </c>
      <c r="B13" t="s">
        <v>70</v>
      </c>
      <c r="C13" t="s">
        <v>71</v>
      </c>
      <c r="D13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B44F-5D7B-43FD-BC08-C51437BB987B}">
  <dimension ref="A1:B13"/>
  <sheetViews>
    <sheetView workbookViewId="0">
      <selection activeCell="D6" sqref="D6"/>
    </sheetView>
  </sheetViews>
  <sheetFormatPr defaultRowHeight="15" x14ac:dyDescent="0.25"/>
  <cols>
    <col min="1" max="1" width="14" bestFit="1" customWidth="1"/>
    <col min="2" max="2" width="13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88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  <row r="7" spans="1:2" x14ac:dyDescent="0.25">
      <c r="A7" t="s">
        <v>93</v>
      </c>
      <c r="B7" t="s">
        <v>94</v>
      </c>
    </row>
    <row r="8" spans="1:2" x14ac:dyDescent="0.25">
      <c r="A8" t="s">
        <v>95</v>
      </c>
      <c r="B8" t="s">
        <v>96</v>
      </c>
    </row>
    <row r="9" spans="1:2" x14ac:dyDescent="0.25">
      <c r="A9" t="s">
        <v>97</v>
      </c>
      <c r="B9" t="s">
        <v>98</v>
      </c>
    </row>
    <row r="10" spans="1:2" x14ac:dyDescent="0.25">
      <c r="A10" t="s">
        <v>99</v>
      </c>
      <c r="B10" t="s">
        <v>84</v>
      </c>
    </row>
    <row r="11" spans="1:2" x14ac:dyDescent="0.25">
      <c r="A11" t="s">
        <v>87</v>
      </c>
      <c r="B11" t="s">
        <v>88</v>
      </c>
    </row>
    <row r="12" spans="1:2" x14ac:dyDescent="0.25">
      <c r="A12" t="s">
        <v>89</v>
      </c>
      <c r="B12" t="s">
        <v>90</v>
      </c>
    </row>
    <row r="13" spans="1:2" x14ac:dyDescent="0.25">
      <c r="A13" t="s">
        <v>100</v>
      </c>
      <c r="B13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4DF0-318E-40B8-9745-760DCEA4EF91}">
  <dimension ref="A1:B9"/>
  <sheetViews>
    <sheetView workbookViewId="0">
      <selection activeCell="F16" sqref="F16"/>
    </sheetView>
  </sheetViews>
  <sheetFormatPr defaultRowHeight="15" x14ac:dyDescent="0.25"/>
  <cols>
    <col min="1" max="1" width="11.85546875" bestFit="1" customWidth="1"/>
    <col min="2" max="2" width="18.42578125" bestFit="1" customWidth="1"/>
  </cols>
  <sheetData>
    <row r="1" spans="1:2" x14ac:dyDescent="0.25">
      <c r="A1" s="20" t="s">
        <v>124</v>
      </c>
      <c r="B1" s="20" t="s">
        <v>125</v>
      </c>
    </row>
    <row r="2" spans="1:2" x14ac:dyDescent="0.25">
      <c r="A2" s="20" t="s">
        <v>115</v>
      </c>
      <c r="B2" s="20" t="s">
        <v>126</v>
      </c>
    </row>
    <row r="3" spans="1:2" x14ac:dyDescent="0.25">
      <c r="A3" s="20" t="s">
        <v>87</v>
      </c>
      <c r="B3" s="20" t="s">
        <v>127</v>
      </c>
    </row>
    <row r="4" spans="1:2" x14ac:dyDescent="0.25">
      <c r="A4" s="20" t="s">
        <v>128</v>
      </c>
      <c r="B4" s="20" t="s">
        <v>129</v>
      </c>
    </row>
    <row r="5" spans="1:2" x14ac:dyDescent="0.25">
      <c r="A5" s="20" t="s">
        <v>130</v>
      </c>
      <c r="B5" s="20" t="s">
        <v>111</v>
      </c>
    </row>
    <row r="6" spans="1:2" x14ac:dyDescent="0.25">
      <c r="A6" s="20" t="s">
        <v>131</v>
      </c>
      <c r="B6" s="20" t="s">
        <v>132</v>
      </c>
    </row>
    <row r="7" spans="1:2" x14ac:dyDescent="0.25">
      <c r="A7" s="20" t="s">
        <v>133</v>
      </c>
      <c r="B7" s="20" t="s">
        <v>112</v>
      </c>
    </row>
    <row r="8" spans="1:2" x14ac:dyDescent="0.25">
      <c r="A8" s="20" t="s">
        <v>134</v>
      </c>
      <c r="B8" s="20" t="s">
        <v>135</v>
      </c>
    </row>
    <row r="9" spans="1:2" x14ac:dyDescent="0.25">
      <c r="A9" s="20" t="s">
        <v>136</v>
      </c>
      <c r="B9" s="20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7FD2-728F-46CF-96BD-7F238D46537A}">
  <dimension ref="A1:B11"/>
  <sheetViews>
    <sheetView workbookViewId="0">
      <selection activeCell="C1" sqref="C1"/>
    </sheetView>
  </sheetViews>
  <sheetFormatPr defaultRowHeight="15" x14ac:dyDescent="0.25"/>
  <cols>
    <col min="1" max="1" width="7.85546875" bestFit="1" customWidth="1"/>
    <col min="2" max="2" width="16.140625" bestFit="1" customWidth="1"/>
    <col min="3" max="4" width="16.28515625" bestFit="1" customWidth="1"/>
  </cols>
  <sheetData>
    <row r="1" spans="1:2" x14ac:dyDescent="0.25">
      <c r="A1" s="16" t="s">
        <v>148</v>
      </c>
      <c r="B1" s="16" t="s">
        <v>149</v>
      </c>
    </row>
    <row r="2" spans="1:2" x14ac:dyDescent="0.25">
      <c r="A2" s="16">
        <v>2008</v>
      </c>
      <c r="B2" s="16" t="s">
        <v>138</v>
      </c>
    </row>
    <row r="3" spans="1:2" x14ac:dyDescent="0.25">
      <c r="A3" s="16">
        <v>2015</v>
      </c>
      <c r="B3" s="16" t="s">
        <v>139</v>
      </c>
    </row>
    <row r="4" spans="1:2" x14ac:dyDescent="0.25">
      <c r="A4" s="16">
        <v>2024</v>
      </c>
      <c r="B4" s="16" t="s">
        <v>140</v>
      </c>
    </row>
    <row r="5" spans="1:2" x14ac:dyDescent="0.25">
      <c r="A5" s="16">
        <v>2009</v>
      </c>
      <c r="B5" s="16" t="s">
        <v>141</v>
      </c>
    </row>
    <row r="6" spans="1:2" x14ac:dyDescent="0.25">
      <c r="A6" s="16">
        <v>2006</v>
      </c>
      <c r="B6" s="16" t="s">
        <v>142</v>
      </c>
    </row>
    <row r="7" spans="1:2" x14ac:dyDescent="0.25">
      <c r="A7" s="16">
        <v>2024</v>
      </c>
      <c r="B7" s="16" t="s">
        <v>143</v>
      </c>
    </row>
    <row r="8" spans="1:2" x14ac:dyDescent="0.25">
      <c r="A8" s="16">
        <v>1990</v>
      </c>
      <c r="B8" s="16" t="s">
        <v>144</v>
      </c>
    </row>
    <row r="9" spans="1:2" x14ac:dyDescent="0.25">
      <c r="A9" s="16">
        <v>2021</v>
      </c>
      <c r="B9" s="16" t="s">
        <v>145</v>
      </c>
    </row>
    <row r="10" spans="1:2" x14ac:dyDescent="0.25">
      <c r="A10" s="16">
        <v>1998</v>
      </c>
      <c r="B10" s="16" t="s">
        <v>146</v>
      </c>
    </row>
    <row r="11" spans="1:2" x14ac:dyDescent="0.25">
      <c r="A11" s="16">
        <v>2006</v>
      </c>
      <c r="B11" s="16" t="s">
        <v>147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0B5-7A09-4886-9148-380563DBA90F}">
  <dimension ref="A1:C6"/>
  <sheetViews>
    <sheetView workbookViewId="0">
      <selection activeCell="B3" sqref="A2:C6"/>
    </sheetView>
  </sheetViews>
  <sheetFormatPr defaultRowHeight="15" x14ac:dyDescent="0.25"/>
  <cols>
    <col min="1" max="1" width="18.140625" bestFit="1" customWidth="1"/>
    <col min="2" max="3" width="18.5703125" bestFit="1" customWidth="1"/>
    <col min="4" max="5" width="21.42578125" bestFit="1" customWidth="1"/>
    <col min="6" max="6" width="19.85546875" bestFit="1" customWidth="1"/>
  </cols>
  <sheetData>
    <row r="1" spans="1:3" x14ac:dyDescent="0.25">
      <c r="A1" t="s">
        <v>150</v>
      </c>
      <c r="B1" t="s">
        <v>166</v>
      </c>
      <c r="C1" t="s">
        <v>167</v>
      </c>
    </row>
    <row r="2" spans="1:3" x14ac:dyDescent="0.25">
      <c r="A2" s="2" t="s">
        <v>156</v>
      </c>
      <c r="B2" s="2">
        <v>0</v>
      </c>
      <c r="C2" s="2" t="s">
        <v>157</v>
      </c>
    </row>
    <row r="3" spans="1:3" x14ac:dyDescent="0.25">
      <c r="A3" s="2" t="s">
        <v>158</v>
      </c>
      <c r="B3" s="2">
        <v>0</v>
      </c>
      <c r="C3" s="2" t="s">
        <v>159</v>
      </c>
    </row>
    <row r="4" spans="1:3" x14ac:dyDescent="0.25">
      <c r="A4" s="2" t="s">
        <v>160</v>
      </c>
      <c r="B4" s="2">
        <v>0</v>
      </c>
      <c r="C4" s="2" t="s">
        <v>161</v>
      </c>
    </row>
    <row r="5" spans="1:3" x14ac:dyDescent="0.25">
      <c r="A5" s="2" t="s">
        <v>162</v>
      </c>
      <c r="B5" s="2" t="s">
        <v>163</v>
      </c>
      <c r="C5" s="2">
        <v>0</v>
      </c>
    </row>
    <row r="6" spans="1:3" x14ac:dyDescent="0.25">
      <c r="A6" s="2" t="s">
        <v>164</v>
      </c>
      <c r="B6" s="2" t="s">
        <v>165</v>
      </c>
      <c r="C6" s="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BAA8-81AA-486F-A6AA-0CD20CC67579}">
  <dimension ref="A1:E10"/>
  <sheetViews>
    <sheetView tabSelected="1" workbookViewId="0">
      <selection activeCell="B3" sqref="A2:B10"/>
    </sheetView>
  </sheetViews>
  <sheetFormatPr defaultRowHeight="15" x14ac:dyDescent="0.25"/>
  <cols>
    <col min="1" max="1" width="10.7109375" bestFit="1" customWidth="1"/>
    <col min="2" max="2" width="17.5703125" bestFit="1" customWidth="1"/>
    <col min="3" max="5" width="8.5703125" bestFit="1" customWidth="1"/>
  </cols>
  <sheetData>
    <row r="1" spans="1:5" x14ac:dyDescent="0.25">
      <c r="A1" t="s">
        <v>170</v>
      </c>
      <c r="B1" t="s">
        <v>187</v>
      </c>
    </row>
    <row r="2" spans="1:5" x14ac:dyDescent="0.25">
      <c r="A2" s="31" t="s">
        <v>179</v>
      </c>
      <c r="B2" s="31">
        <v>1650</v>
      </c>
    </row>
    <row r="3" spans="1:5" x14ac:dyDescent="0.25">
      <c r="A3" s="31" t="s">
        <v>180</v>
      </c>
      <c r="B3" s="31">
        <v>330</v>
      </c>
    </row>
    <row r="4" spans="1:5" x14ac:dyDescent="0.25">
      <c r="A4" s="31" t="s">
        <v>181</v>
      </c>
      <c r="B4" s="31">
        <v>390</v>
      </c>
    </row>
    <row r="5" spans="1:5" x14ac:dyDescent="0.25">
      <c r="A5" s="31" t="s">
        <v>182</v>
      </c>
      <c r="B5" s="31">
        <v>140</v>
      </c>
    </row>
    <row r="6" spans="1:5" x14ac:dyDescent="0.25">
      <c r="A6" s="31" t="s">
        <v>183</v>
      </c>
      <c r="B6" s="31">
        <v>400</v>
      </c>
    </row>
    <row r="7" spans="1:5" x14ac:dyDescent="0.25">
      <c r="A7" s="31" t="s">
        <v>184</v>
      </c>
      <c r="B7" s="31">
        <v>225</v>
      </c>
    </row>
    <row r="8" spans="1:5" x14ac:dyDescent="0.25">
      <c r="A8" s="31" t="s">
        <v>185</v>
      </c>
      <c r="B8" s="31">
        <v>670</v>
      </c>
    </row>
    <row r="9" spans="1:5" x14ac:dyDescent="0.25">
      <c r="A9" s="31" t="s">
        <v>186</v>
      </c>
      <c r="B9" s="31">
        <v>900</v>
      </c>
    </row>
    <row r="10" spans="1:5" x14ac:dyDescent="0.25">
      <c r="A10" s="32" t="s">
        <v>191</v>
      </c>
      <c r="B10" s="33">
        <f>SUM(B2:B9)</f>
        <v>4705</v>
      </c>
      <c r="E10" s="3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A51-8531-4182-90E0-731115AF4515}">
  <dimension ref="A1:B8"/>
  <sheetViews>
    <sheetView workbookViewId="0">
      <selection activeCell="E6" sqref="E6"/>
    </sheetView>
  </sheetViews>
  <sheetFormatPr defaultRowHeight="15" x14ac:dyDescent="0.25"/>
  <cols>
    <col min="1" max="1" width="11.28515625" bestFit="1" customWidth="1"/>
    <col min="2" max="2" width="18.85546875" bestFit="1" customWidth="1"/>
  </cols>
  <sheetData>
    <row r="1" spans="1:2" x14ac:dyDescent="0.25">
      <c r="A1" t="s">
        <v>169</v>
      </c>
      <c r="B1" t="s">
        <v>188</v>
      </c>
    </row>
    <row r="2" spans="1:2" x14ac:dyDescent="0.25">
      <c r="A2" t="s">
        <v>172</v>
      </c>
      <c r="B2">
        <v>3</v>
      </c>
    </row>
    <row r="3" spans="1:2" x14ac:dyDescent="0.25">
      <c r="A3" t="s">
        <v>173</v>
      </c>
      <c r="B3">
        <v>4</v>
      </c>
    </row>
    <row r="4" spans="1:2" x14ac:dyDescent="0.25">
      <c r="A4" t="s">
        <v>174</v>
      </c>
      <c r="B4">
        <v>4</v>
      </c>
    </row>
    <row r="5" spans="1:2" x14ac:dyDescent="0.25">
      <c r="A5" t="s">
        <v>175</v>
      </c>
      <c r="B5">
        <v>2</v>
      </c>
    </row>
    <row r="6" spans="1:2" x14ac:dyDescent="0.25">
      <c r="A6" t="s">
        <v>176</v>
      </c>
      <c r="B6">
        <v>3</v>
      </c>
    </row>
    <row r="7" spans="1:2" x14ac:dyDescent="0.25">
      <c r="A7" t="s">
        <v>177</v>
      </c>
      <c r="B7">
        <v>2</v>
      </c>
    </row>
    <row r="8" spans="1:2" x14ac:dyDescent="0.25">
      <c r="A8" t="s">
        <v>178</v>
      </c>
      <c r="B8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A051-24E9-4404-BDFC-ACDE66FA1428}">
  <dimension ref="A1:B9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5.5703125" bestFit="1" customWidth="1"/>
  </cols>
  <sheetData>
    <row r="1" spans="1:2" x14ac:dyDescent="0.25">
      <c r="A1" t="s">
        <v>170</v>
      </c>
      <c r="B1" t="s">
        <v>189</v>
      </c>
    </row>
    <row r="2" spans="1:2" x14ac:dyDescent="0.25">
      <c r="A2" t="s">
        <v>179</v>
      </c>
      <c r="B2">
        <v>4</v>
      </c>
    </row>
    <row r="3" spans="1:2" x14ac:dyDescent="0.25">
      <c r="A3" t="s">
        <v>180</v>
      </c>
      <c r="B3">
        <v>2</v>
      </c>
    </row>
    <row r="4" spans="1:2" x14ac:dyDescent="0.25">
      <c r="A4" t="s">
        <v>181</v>
      </c>
      <c r="B4">
        <v>4</v>
      </c>
    </row>
    <row r="5" spans="1:2" x14ac:dyDescent="0.25">
      <c r="A5" t="s">
        <v>182</v>
      </c>
      <c r="B5">
        <v>2</v>
      </c>
    </row>
    <row r="6" spans="1:2" x14ac:dyDescent="0.25">
      <c r="A6" t="s">
        <v>183</v>
      </c>
      <c r="B6">
        <v>2</v>
      </c>
    </row>
    <row r="7" spans="1:2" x14ac:dyDescent="0.25">
      <c r="A7" t="s">
        <v>184</v>
      </c>
      <c r="B7">
        <v>2</v>
      </c>
    </row>
    <row r="8" spans="1:2" x14ac:dyDescent="0.25">
      <c r="A8" t="s">
        <v>185</v>
      </c>
      <c r="B8">
        <v>2</v>
      </c>
    </row>
    <row r="9" spans="1:2" x14ac:dyDescent="0.25">
      <c r="A9" t="s">
        <v>186</v>
      </c>
      <c r="B9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C01E-575B-4CEE-95B1-E8E1638248AF}">
  <dimension ref="A1:M22"/>
  <sheetViews>
    <sheetView topLeftCell="E1" zoomScaleNormal="100" workbookViewId="0">
      <selection activeCell="K1" sqref="K1:M1"/>
    </sheetView>
  </sheetViews>
  <sheetFormatPr defaultRowHeight="15" x14ac:dyDescent="0.25"/>
  <cols>
    <col min="2" max="2" width="15" customWidth="1"/>
    <col min="3" max="3" width="14.5703125" customWidth="1"/>
    <col min="4" max="4" width="19.5703125" customWidth="1"/>
    <col min="6" max="6" width="8.7109375" customWidth="1"/>
    <col min="7" max="7" width="21.42578125" customWidth="1"/>
    <col min="8" max="8" width="3.85546875" customWidth="1"/>
    <col min="9" max="9" width="25.7109375" bestFit="1" customWidth="1"/>
    <col min="11" max="11" width="11.85546875" customWidth="1"/>
    <col min="12" max="12" width="10.28515625" bestFit="1" customWidth="1"/>
    <col min="13" max="13" width="12.28515625" customWidth="1"/>
  </cols>
  <sheetData>
    <row r="1" spans="1:13" ht="19.5" thickBot="1" x14ac:dyDescent="0.35">
      <c r="D1" s="1"/>
      <c r="E1" s="29" t="s">
        <v>168</v>
      </c>
      <c r="F1" s="29"/>
      <c r="G1" s="29"/>
      <c r="H1" s="29"/>
      <c r="I1" s="29"/>
      <c r="K1" s="30" t="s">
        <v>190</v>
      </c>
      <c r="L1" s="30"/>
      <c r="M1" s="30"/>
    </row>
    <row r="2" spans="1:13" ht="15.75" x14ac:dyDescent="0.25">
      <c r="A2" s="5" t="s">
        <v>4</v>
      </c>
      <c r="B2" s="6" t="s">
        <v>1</v>
      </c>
      <c r="C2" s="6" t="s">
        <v>2</v>
      </c>
      <c r="D2" s="7" t="s">
        <v>3</v>
      </c>
      <c r="G2" s="13" t="s">
        <v>3</v>
      </c>
      <c r="I2" s="22" t="s">
        <v>113</v>
      </c>
      <c r="K2" s="25" t="s">
        <v>169</v>
      </c>
      <c r="L2" s="26" t="s">
        <v>170</v>
      </c>
      <c r="M2" s="27" t="s">
        <v>171</v>
      </c>
    </row>
    <row r="3" spans="1:13" x14ac:dyDescent="0.25">
      <c r="A3" s="3">
        <v>1</v>
      </c>
      <c r="B3" s="2" t="s">
        <v>0</v>
      </c>
      <c r="C3" s="2" t="s">
        <v>15</v>
      </c>
      <c r="D3" s="4" t="str">
        <f>_xlfn.CONCAT(B3," ",C3)</f>
        <v>DINESHWAR paswan</v>
      </c>
      <c r="G3" s="11" t="s">
        <v>73</v>
      </c>
      <c r="I3" s="21" t="s">
        <v>110</v>
      </c>
      <c r="K3" s="3" t="s">
        <v>172</v>
      </c>
      <c r="L3" s="2" t="s">
        <v>179</v>
      </c>
      <c r="M3" s="24">
        <v>500</v>
      </c>
    </row>
    <row r="4" spans="1:13" x14ac:dyDescent="0.25">
      <c r="A4" s="3">
        <v>2</v>
      </c>
      <c r="B4" s="2" t="s">
        <v>16</v>
      </c>
      <c r="C4" s="2" t="s">
        <v>17</v>
      </c>
      <c r="D4" s="4" t="str">
        <f t="shared" ref="D4:D14" si="0">_xlfn.CONCAT(B4," ",C4)</f>
        <v>Pawan sharma</v>
      </c>
      <c r="G4" s="12" t="s">
        <v>74</v>
      </c>
      <c r="I4" s="21" t="s">
        <v>101</v>
      </c>
      <c r="K4" s="3" t="s">
        <v>173</v>
      </c>
      <c r="L4" s="2" t="s">
        <v>180</v>
      </c>
      <c r="M4" s="24">
        <v>250</v>
      </c>
    </row>
    <row r="5" spans="1:13" x14ac:dyDescent="0.25">
      <c r="A5" s="3">
        <v>3</v>
      </c>
      <c r="B5" s="2" t="s">
        <v>5</v>
      </c>
      <c r="C5" s="2" t="s">
        <v>18</v>
      </c>
      <c r="D5" s="4" t="str">
        <f t="shared" si="0"/>
        <v>manish Thakur</v>
      </c>
      <c r="G5" s="12" t="s">
        <v>75</v>
      </c>
      <c r="I5" s="21" t="s">
        <v>102</v>
      </c>
      <c r="K5" s="3" t="s">
        <v>174</v>
      </c>
      <c r="L5" s="2" t="s">
        <v>181</v>
      </c>
      <c r="M5" s="24">
        <v>100</v>
      </c>
    </row>
    <row r="6" spans="1:13" x14ac:dyDescent="0.25">
      <c r="A6" s="3">
        <v>4</v>
      </c>
      <c r="B6" s="2" t="s">
        <v>6</v>
      </c>
      <c r="C6" s="2" t="s">
        <v>19</v>
      </c>
      <c r="D6" s="4" t="str">
        <f t="shared" si="0"/>
        <v>ManishA kumar</v>
      </c>
      <c r="G6" s="12" t="s">
        <v>76</v>
      </c>
      <c r="I6" s="21" t="s">
        <v>103</v>
      </c>
      <c r="K6" s="3" t="s">
        <v>175</v>
      </c>
      <c r="L6" s="2" t="s">
        <v>179</v>
      </c>
      <c r="M6" s="24">
        <v>400</v>
      </c>
    </row>
    <row r="7" spans="1:13" x14ac:dyDescent="0.25">
      <c r="A7" s="3">
        <v>5</v>
      </c>
      <c r="B7" s="2" t="s">
        <v>7</v>
      </c>
      <c r="C7" s="2" t="s">
        <v>20</v>
      </c>
      <c r="D7" s="4" t="str">
        <f t="shared" si="0"/>
        <v>Mohit raM</v>
      </c>
      <c r="G7" s="12" t="s">
        <v>77</v>
      </c>
      <c r="I7" s="21" t="s">
        <v>104</v>
      </c>
      <c r="K7" s="3" t="s">
        <v>173</v>
      </c>
      <c r="L7" s="2" t="s">
        <v>181</v>
      </c>
      <c r="M7" s="24">
        <v>50</v>
      </c>
    </row>
    <row r="8" spans="1:13" x14ac:dyDescent="0.25">
      <c r="A8" s="3">
        <v>6</v>
      </c>
      <c r="B8" s="2" t="s">
        <v>8</v>
      </c>
      <c r="C8" s="2" t="s">
        <v>21</v>
      </c>
      <c r="D8" s="4" t="str">
        <f t="shared" si="0"/>
        <v>trun PaswaAN</v>
      </c>
      <c r="G8" s="12" t="s">
        <v>78</v>
      </c>
      <c r="I8" s="21" t="s">
        <v>105</v>
      </c>
      <c r="K8" s="3" t="s">
        <v>172</v>
      </c>
      <c r="L8" s="2" t="s">
        <v>182</v>
      </c>
      <c r="M8" s="24">
        <v>70</v>
      </c>
    </row>
    <row r="9" spans="1:13" x14ac:dyDescent="0.25">
      <c r="A9" s="3">
        <v>7</v>
      </c>
      <c r="B9" s="2" t="s">
        <v>9</v>
      </c>
      <c r="C9" s="2" t="s">
        <v>22</v>
      </c>
      <c r="D9" s="4" t="str">
        <f t="shared" si="0"/>
        <v>Manju MAHTO</v>
      </c>
      <c r="G9" s="12" t="s">
        <v>79</v>
      </c>
      <c r="I9" s="21" t="s">
        <v>108</v>
      </c>
      <c r="K9" s="3" t="s">
        <v>174</v>
      </c>
      <c r="L9" s="2" t="s">
        <v>180</v>
      </c>
      <c r="M9" s="24">
        <v>80</v>
      </c>
    </row>
    <row r="10" spans="1:13" x14ac:dyDescent="0.25">
      <c r="A10" s="3">
        <v>8</v>
      </c>
      <c r="B10" s="2" t="s">
        <v>10</v>
      </c>
      <c r="C10" s="2" t="s">
        <v>23</v>
      </c>
      <c r="D10" s="4" t="str">
        <f t="shared" si="0"/>
        <v>Radha Mahto</v>
      </c>
      <c r="G10" s="12" t="s">
        <v>80</v>
      </c>
      <c r="I10" s="21" t="s">
        <v>106</v>
      </c>
      <c r="K10" s="3" t="s">
        <v>175</v>
      </c>
      <c r="L10" s="2" t="s">
        <v>183</v>
      </c>
      <c r="M10" s="24">
        <v>150</v>
      </c>
    </row>
    <row r="11" spans="1:13" x14ac:dyDescent="0.25">
      <c r="A11" s="3">
        <v>9</v>
      </c>
      <c r="B11" s="2" t="s">
        <v>11</v>
      </c>
      <c r="C11" s="2" t="s">
        <v>24</v>
      </c>
      <c r="D11" s="4" t="str">
        <f t="shared" si="0"/>
        <v>pinki sinha</v>
      </c>
      <c r="G11" s="12" t="s">
        <v>81</v>
      </c>
      <c r="I11" s="21" t="s">
        <v>107</v>
      </c>
      <c r="K11" s="3" t="s">
        <v>173</v>
      </c>
      <c r="L11" s="2" t="s">
        <v>179</v>
      </c>
      <c r="M11" s="24">
        <v>400</v>
      </c>
    </row>
    <row r="12" spans="1:13" x14ac:dyDescent="0.25">
      <c r="A12" s="3">
        <v>10</v>
      </c>
      <c r="B12" s="2" t="s">
        <v>12</v>
      </c>
      <c r="C12" s="2" t="s">
        <v>25</v>
      </c>
      <c r="D12" s="4" t="str">
        <f t="shared" si="0"/>
        <v>raJU shigh</v>
      </c>
      <c r="G12" s="12" t="s">
        <v>75</v>
      </c>
      <c r="I12" s="15" t="s">
        <v>109</v>
      </c>
      <c r="K12" s="3" t="s">
        <v>176</v>
      </c>
      <c r="L12" s="2" t="s">
        <v>184</v>
      </c>
      <c r="M12" s="24">
        <v>85</v>
      </c>
    </row>
    <row r="13" spans="1:13" x14ac:dyDescent="0.25">
      <c r="A13" s="3">
        <v>11</v>
      </c>
      <c r="B13" s="2" t="s">
        <v>13</v>
      </c>
      <c r="C13" s="2" t="s">
        <v>26</v>
      </c>
      <c r="D13" s="4" t="str">
        <f t="shared" si="0"/>
        <v>KARAn khaWAR</v>
      </c>
      <c r="G13" s="12" t="s">
        <v>76</v>
      </c>
      <c r="K13" s="3" t="s">
        <v>177</v>
      </c>
      <c r="L13" s="2" t="s">
        <v>181</v>
      </c>
      <c r="M13" s="24">
        <v>60</v>
      </c>
    </row>
    <row r="14" spans="1:13" ht="15.75" x14ac:dyDescent="0.25">
      <c r="A14" s="8">
        <v>12</v>
      </c>
      <c r="B14" s="9" t="s">
        <v>14</v>
      </c>
      <c r="C14" s="9" t="s">
        <v>27</v>
      </c>
      <c r="D14" s="10" t="str">
        <f t="shared" si="0"/>
        <v>deePAK Baitha</v>
      </c>
      <c r="G14" s="14" t="s">
        <v>82</v>
      </c>
      <c r="I14" s="17" t="s">
        <v>114</v>
      </c>
      <c r="K14" s="3" t="s">
        <v>178</v>
      </c>
      <c r="L14" s="2" t="s">
        <v>185</v>
      </c>
      <c r="M14" s="24">
        <v>30</v>
      </c>
    </row>
    <row r="15" spans="1:13" x14ac:dyDescent="0.25">
      <c r="I15" s="18" t="s">
        <v>116</v>
      </c>
      <c r="K15" s="3" t="s">
        <v>172</v>
      </c>
      <c r="L15" s="2" t="s">
        <v>182</v>
      </c>
      <c r="M15" s="24">
        <v>70</v>
      </c>
    </row>
    <row r="16" spans="1:13" ht="15.75" x14ac:dyDescent="0.25">
      <c r="D16" s="23" t="s">
        <v>150</v>
      </c>
      <c r="I16" s="18" t="s">
        <v>117</v>
      </c>
      <c r="K16" s="3" t="s">
        <v>176</v>
      </c>
      <c r="L16" s="2" t="s">
        <v>179</v>
      </c>
      <c r="M16" s="24">
        <v>350</v>
      </c>
    </row>
    <row r="17" spans="4:13" x14ac:dyDescent="0.25">
      <c r="D17" s="21" t="s">
        <v>151</v>
      </c>
      <c r="I17" s="18" t="s">
        <v>118</v>
      </c>
      <c r="K17" s="3" t="s">
        <v>177</v>
      </c>
      <c r="L17" s="2" t="s">
        <v>183</v>
      </c>
      <c r="M17" s="24">
        <v>250</v>
      </c>
    </row>
    <row r="18" spans="4:13" x14ac:dyDescent="0.25">
      <c r="D18" s="21" t="s">
        <v>152</v>
      </c>
      <c r="I18" s="18" t="s">
        <v>119</v>
      </c>
      <c r="K18" s="3" t="s">
        <v>174</v>
      </c>
      <c r="L18" s="2" t="s">
        <v>181</v>
      </c>
      <c r="M18" s="24">
        <v>180</v>
      </c>
    </row>
    <row r="19" spans="4:13" x14ac:dyDescent="0.25">
      <c r="D19" s="21" t="s">
        <v>153</v>
      </c>
      <c r="I19" s="18" t="s">
        <v>120</v>
      </c>
      <c r="K19" s="3" t="s">
        <v>178</v>
      </c>
      <c r="L19" s="2" t="s">
        <v>186</v>
      </c>
      <c r="M19" s="24">
        <v>300</v>
      </c>
    </row>
    <row r="20" spans="4:13" x14ac:dyDescent="0.25">
      <c r="D20" s="21" t="s">
        <v>154</v>
      </c>
      <c r="I20" s="18" t="s">
        <v>121</v>
      </c>
      <c r="K20" s="3" t="s">
        <v>173</v>
      </c>
      <c r="L20" s="2" t="s">
        <v>184</v>
      </c>
      <c r="M20" s="24">
        <v>140</v>
      </c>
    </row>
    <row r="21" spans="4:13" x14ac:dyDescent="0.25">
      <c r="D21" s="15" t="s">
        <v>155</v>
      </c>
      <c r="I21" s="18" t="s">
        <v>122</v>
      </c>
      <c r="K21" s="3" t="s">
        <v>176</v>
      </c>
      <c r="L21" s="2" t="s">
        <v>186</v>
      </c>
      <c r="M21" s="24">
        <v>600</v>
      </c>
    </row>
    <row r="22" spans="4:13" x14ac:dyDescent="0.25">
      <c r="I22" s="19" t="s">
        <v>123</v>
      </c>
      <c r="K22" s="8" t="s">
        <v>174</v>
      </c>
      <c r="L22" s="9" t="s">
        <v>185</v>
      </c>
      <c r="M22" s="28">
        <v>640</v>
      </c>
    </row>
  </sheetData>
  <mergeCells count="2">
    <mergeCell ref="E1:I1"/>
    <mergeCell ref="K1:M1"/>
  </mergeCells>
  <hyperlinks>
    <hyperlink ref="I15" r:id="rId1" xr:uid="{203F5BBC-CD0D-40EC-A96E-6A7E67364F6D}"/>
    <hyperlink ref="I16" r:id="rId2" xr:uid="{188C2A27-9ACB-4B57-9F86-936699041FDD}"/>
    <hyperlink ref="I17" r:id="rId3" xr:uid="{DE2223A1-DCF1-4487-8DD0-E9A4D950E93A}"/>
    <hyperlink ref="I18" r:id="rId4" xr:uid="{FDB0E64F-7054-48C6-AB48-EB592CFBCA9E}"/>
    <hyperlink ref="I19" r:id="rId5" xr:uid="{5BA0FE3E-99AF-4839-8566-2624D072C8BF}"/>
    <hyperlink ref="I20" r:id="rId6" xr:uid="{18BC9011-72F5-4638-86FC-BC2AE207B3CE}"/>
    <hyperlink ref="I21" r:id="rId7" xr:uid="{FDD6C1CC-0580-4EBA-A985-3F203C0EA858}"/>
    <hyperlink ref="I22" r:id="rId8" xr:uid="{441BE410-2111-4BD3-8AD1-7DBFF2D02FA7}"/>
  </hyperlinks>
  <pageMargins left="0.7" right="0.7" top="0.75" bottom="0.75" header="0.3" footer="0.3"/>
  <pageSetup paperSize="9" orientation="portrait" r:id="rId9"/>
  <tableParts count="6">
    <tablePart r:id="rId10"/>
    <tablePart r:id="rId11"/>
    <tablePart r:id="rId12"/>
    <tablePart r:id="rId13"/>
    <tablePart r:id="rId14"/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3352D-06F1-497B-AFD2-8E9C9801D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Table1</vt:lpstr>
      <vt:lpstr>Table3</vt:lpstr>
      <vt:lpstr>Table7</vt:lpstr>
      <vt:lpstr>Table9</vt:lpstr>
      <vt:lpstr>Table11</vt:lpstr>
      <vt:lpstr>Table13</vt:lpstr>
      <vt:lpstr>Table13 (2)</vt:lpstr>
      <vt:lpstr>Table13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2026-09-24T00:30:56Z</dcterms:created>
  <dcterms:modified xsi:type="dcterms:W3CDTF">2026-09-24T16:56:04Z</dcterms:modified>
</cp:coreProperties>
</file>